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y\projects\rust\hyo\fixtures\"/>
    </mc:Choice>
  </mc:AlternateContent>
  <xr:revisionPtr revIDLastSave="0" documentId="8_{834AE3FC-E9FC-41CF-A2FB-8F382E628A24}" xr6:coauthVersionLast="47" xr6:coauthVersionMax="47" xr10:uidLastSave="{00000000-0000-0000-0000-000000000000}"/>
  <bookViews>
    <workbookView xWindow="-110" yWindow="-110" windowWidth="38620" windowHeight="21100" xr2:uid="{FCD95208-2D4A-4DC8-840A-2240FBAD05CF}"/>
  </bookViews>
  <sheets>
    <sheet name="Cases" sheetId="2" r:id="rId1"/>
    <sheet name="Inpu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7" i="2" l="1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<sst xmlns="http://schemas.openxmlformats.org/spreadsheetml/2006/main" count="96" uniqueCount="96">
  <si>
    <t>text</t>
  </si>
  <si>
    <t>Case</t>
  </si>
  <si>
    <t>Formula</t>
  </si>
  <si>
    <t>Excel result</t>
  </si>
  <si>
    <t>Arithmetic precedence</t>
  </si>
  <si>
    <t>=1+2*3</t>
  </si>
  <si>
    <t>Unary minus vs power</t>
  </si>
  <si>
    <t>=-2^2</t>
  </si>
  <si>
    <t>Power right associative</t>
  </si>
  <si>
    <t>=2^3^2</t>
  </si>
  <si>
    <t>Division</t>
  </si>
  <si>
    <t>=10/4</t>
  </si>
  <si>
    <t>One third</t>
  </si>
  <si>
    <t>=1/3</t>
  </si>
  <si>
    <t>Point one plus point two</t>
  </si>
  <si>
    <t>=0.1+0.2</t>
  </si>
  <si>
    <t>Overflow</t>
  </si>
  <si>
    <t>=2^1024</t>
  </si>
  <si>
    <t>Division by zero</t>
  </si>
  <si>
    <t>=1/0</t>
  </si>
  <si>
    <t>Square root domain</t>
  </si>
  <si>
    <t>=SQRT(-1)</t>
  </si>
  <si>
    <t>Round trap</t>
  </si>
  <si>
    <t>=ROUND(2.675,2)</t>
  </si>
  <si>
    <t>Round negative trap</t>
  </si>
  <si>
    <t>=ROUND(-2.675,2)</t>
  </si>
  <si>
    <t>Round hundreds</t>
  </si>
  <si>
    <t>=ROUND(1234,-2)</t>
  </si>
  <si>
    <t>Round half away</t>
  </si>
  <si>
    <t>=ROUND(2.5,0)</t>
  </si>
  <si>
    <t>Mod negative</t>
  </si>
  <si>
    <t>=MOD(-3,2)</t>
  </si>
  <si>
    <t>Sum range</t>
  </si>
  <si>
    <t>=SUM(Inputs!A1:A5)</t>
  </si>
  <si>
    <t>Average range</t>
  </si>
  <si>
    <t>=AVERAGE(Inputs!A1:A5)</t>
  </si>
  <si>
    <t>Count range</t>
  </si>
  <si>
    <t>=COUNT(Inputs!A1:A5)</t>
  </si>
  <si>
    <t>Counta range</t>
  </si>
  <si>
    <t>=COUNTA(Inputs!A1:A5)</t>
  </si>
  <si>
    <t>Countblank range</t>
  </si>
  <si>
    <t>=COUNTBLANK(Inputs!A1:A5)</t>
  </si>
  <si>
    <t>Min range</t>
  </si>
  <si>
    <t>=MIN(Inputs!A1:A5)</t>
  </si>
  <si>
    <t>Max range</t>
  </si>
  <si>
    <t>=MAX(Inputs!A1:A5)</t>
  </si>
  <si>
    <t>Product range</t>
  </si>
  <si>
    <t>=PRODUCT(Inputs!A1:A5)</t>
  </si>
  <si>
    <t>Sumproduct</t>
  </si>
  <si>
    <t>=SUMPRODUCT(Inputs!B1:B3,Inputs!C1:C3)</t>
  </si>
  <si>
    <t>If lazy</t>
  </si>
  <si>
    <t>=IF(TRUE,1,1/0)</t>
  </si>
  <si>
    <t>Iferror</t>
  </si>
  <si>
    <t>=IFERROR(1/0,42)</t>
  </si>
  <si>
    <t>Ifna</t>
  </si>
  <si>
    <t>=IFNA(NA(),42)</t>
  </si>
  <si>
    <t>And</t>
  </si>
  <si>
    <t>=AND(TRUE,1,2)</t>
  </si>
  <si>
    <t>Or</t>
  </si>
  <si>
    <t>=OR(FALSE,0,1)</t>
  </si>
  <si>
    <t>Concat</t>
  </si>
  <si>
    <t>=CONCAT("a",1,TRUE)</t>
  </si>
  <si>
    <t>Left</t>
  </si>
  <si>
    <t>=LEFT("hello",2)</t>
  </si>
  <si>
    <t>Right</t>
  </si>
  <si>
    <t>=RIGHT("hello",2)</t>
  </si>
  <si>
    <t>Mid</t>
  </si>
  <si>
    <t>=MID("hello",2,3)</t>
  </si>
  <si>
    <t>Len text</t>
  </si>
  <si>
    <t>=LEN("hello")</t>
  </si>
  <si>
    <t>Upper</t>
  </si>
  <si>
    <t>=UPPER("abc")</t>
  </si>
  <si>
    <t>Trim</t>
  </si>
  <si>
    <t>=TRIM("  a   b  ")</t>
  </si>
  <si>
    <t>Text compare</t>
  </si>
  <si>
    <t>="a"="A"</t>
  </si>
  <si>
    <t>Number vs text</t>
  </si>
  <si>
    <t>=1="1"</t>
  </si>
  <si>
    <t>Less than</t>
  </si>
  <si>
    <t>=1&lt;2</t>
  </si>
  <si>
    <t>Exact</t>
  </si>
  <si>
    <t>=EXACT("a","A")</t>
  </si>
  <si>
    <t>Log10</t>
  </si>
  <si>
    <t>=LOG10(1000)</t>
  </si>
  <si>
    <t>Log default base</t>
  </si>
  <si>
    <t>=LOG(100)</t>
  </si>
  <si>
    <t>Power</t>
  </si>
  <si>
    <t>=POWER(2,10)</t>
  </si>
  <si>
    <t>Abs</t>
  </si>
  <si>
    <t>=ABS(-5)</t>
  </si>
  <si>
    <t>Sign</t>
  </si>
  <si>
    <t>=SIGN(-5)</t>
  </si>
  <si>
    <t>Int</t>
  </si>
  <si>
    <t>=INT(-2.5)</t>
  </si>
  <si>
    <t>Empty compare</t>
  </si>
  <si>
    <t>=Inputs!A5=""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</si>
</sst>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94C7-99C8-4337-B6ED-9BE2212522E7}">
  <dimension ref="A1:C47"/>
  <sheetViews>
    <sheetView tabSelected="1" workbookViewId="0"/>
  </sheetViews>
  <sheetFormatPr defaultRowHeight="14.5" x14ac:dyDescent="0.35"/>
  <cols>
    <col min="1" max="1" width="28.6328125" customWidth="1"/>
    <col min="2" max="2" width="42.6328125" customWidth="1"/>
    <col min="3" max="3" width="34.6328125" customWidth="1"/>
  </cols>
  <sheetData>
    <row r="1" spans="1:3" x14ac:dyDescent="0.35">
      <c r="A1" s="1" t="s">
        <v>1</v>
      </c>
      <c r="B1" s="1" t="s">
        <v>2</v>
      </c>
      <c r="C1" s="1" t="s">
        <v>3</v>
      </c>
    </row>
    <row r="2" spans="1:3" x14ac:dyDescent="0.35">
      <c r="A2" t="s">
        <v>4</v>
      </c>
      <c r="B2" s="2" t="s">
        <v>5</v>
      </c>
      <c r="C2">
        <f>1+2*3</f>
        <v>7</v>
      </c>
    </row>
    <row r="3" spans="1:3" x14ac:dyDescent="0.35">
      <c r="A3" t="s">
        <v>6</v>
      </c>
      <c r="B3" s="2" t="s">
        <v>7</v>
      </c>
      <c r="C3">
        <f>-2^2</f>
        <v>4</v>
      </c>
    </row>
    <row r="4" spans="1:3" x14ac:dyDescent="0.35">
      <c r="A4" t="s">
        <v>8</v>
      </c>
      <c r="B4" s="2" t="s">
        <v>9</v>
      </c>
      <c r="C4">
        <f>2^3^2</f>
        <v>64</v>
      </c>
    </row>
    <row r="5" spans="1:3" x14ac:dyDescent="0.35">
      <c r="A5" t="s">
        <v>10</v>
      </c>
      <c r="B5" s="2" t="s">
        <v>11</v>
      </c>
      <c r="C5">
        <f>10/4</f>
        <v>2.5</v>
      </c>
    </row>
    <row r="6" spans="1:3" x14ac:dyDescent="0.35">
      <c r="A6" t="s">
        <v>12</v>
      </c>
      <c r="B6" s="2" t="s">
        <v>13</v>
      </c>
      <c r="C6">
        <f>1/3</f>
        <v>0.33333333333333331</v>
      </c>
    </row>
    <row r="7" spans="1:3" x14ac:dyDescent="0.35">
      <c r="A7" t="s">
        <v>14</v>
      </c>
      <c r="B7" s="2" t="s">
        <v>15</v>
      </c>
      <c r="C7">
        <f>0.1+0.2</f>
        <v>0.30000000000000004</v>
      </c>
    </row>
    <row r="8" spans="1:3" x14ac:dyDescent="0.35">
      <c r="A8" t="s">
        <v>16</v>
      </c>
      <c r="B8" s="2" t="s">
        <v>17</v>
      </c>
      <c r="C8" t="e">
        <f>2^1024</f>
        <v>#NUM!</v>
      </c>
    </row>
    <row r="9" spans="1:3" x14ac:dyDescent="0.35">
      <c r="A9" t="s">
        <v>18</v>
      </c>
      <c r="B9" s="2" t="s">
        <v>19</v>
      </c>
      <c r="C9" t="e">
        <f>1/0</f>
        <v>#DIV/0!</v>
      </c>
    </row>
    <row r="10" spans="1:3" x14ac:dyDescent="0.35">
      <c r="A10" t="s">
        <v>20</v>
      </c>
      <c r="B10" s="2" t="s">
        <v>21</v>
      </c>
      <c r="C10" t="e">
        <f>SQRT(-1)</f>
        <v>#NUM!</v>
      </c>
    </row>
    <row r="11" spans="1:3" x14ac:dyDescent="0.35">
      <c r="A11" t="s">
        <v>22</v>
      </c>
      <c r="B11" s="2" t="s">
        <v>23</v>
      </c>
      <c r="C11">
        <f>ROUND(2.675,2)</f>
        <v>2.68</v>
      </c>
    </row>
    <row r="12" spans="1:3" x14ac:dyDescent="0.35">
      <c r="A12" t="s">
        <v>24</v>
      </c>
      <c r="B12" s="2" t="s">
        <v>25</v>
      </c>
      <c r="C12">
        <f>ROUND(-2.675,2)</f>
        <v>-2.68</v>
      </c>
    </row>
    <row r="13" spans="1:3" x14ac:dyDescent="0.35">
      <c r="A13" t="s">
        <v>26</v>
      </c>
      <c r="B13" s="2" t="s">
        <v>27</v>
      </c>
      <c r="C13">
        <f>ROUND(1234,-2)</f>
        <v>1200</v>
      </c>
    </row>
    <row r="14" spans="1:3" x14ac:dyDescent="0.35">
      <c r="A14" t="s">
        <v>28</v>
      </c>
      <c r="B14" s="2" t="s">
        <v>29</v>
      </c>
      <c r="C14">
        <f>ROUND(2.5,0)</f>
        <v>3</v>
      </c>
    </row>
    <row r="15" spans="1:3" x14ac:dyDescent="0.35">
      <c r="A15" t="s">
        <v>30</v>
      </c>
      <c r="B15" s="2" t="s">
        <v>31</v>
      </c>
      <c r="C15">
        <f>MOD(-3,2)</f>
        <v>1</v>
      </c>
    </row>
    <row r="16" spans="1:3" x14ac:dyDescent="0.35">
      <c r="A16" t="s">
        <v>32</v>
      </c>
      <c r="B16" s="2" t="s">
        <v>33</v>
      </c>
      <c r="C16">
        <f>SUM(Inputs!A1:A5)</f>
        <v>30</v>
      </c>
    </row>
    <row r="17" spans="1:3" x14ac:dyDescent="0.35">
      <c r="A17" t="s">
        <v>34</v>
      </c>
      <c r="B17" s="2" t="s">
        <v>35</v>
      </c>
      <c r="C17">
        <f>AVERAGE(Inputs!A1:A5)</f>
        <v>15</v>
      </c>
    </row>
    <row r="18" spans="1:3" x14ac:dyDescent="0.35">
      <c r="A18" t="s">
        <v>36</v>
      </c>
      <c r="B18" s="2" t="s">
        <v>37</v>
      </c>
      <c r="C18">
        <f>COUNT(Inputs!A1:A5)</f>
        <v>2</v>
      </c>
    </row>
    <row r="19" spans="1:3" x14ac:dyDescent="0.35">
      <c r="A19" t="s">
        <v>38</v>
      </c>
      <c r="B19" s="2" t="s">
        <v>39</v>
      </c>
      <c r="C19">
        <f>COUNTA(Inputs!A1:A5)</f>
        <v>4</v>
      </c>
    </row>
    <row r="20" spans="1:3" x14ac:dyDescent="0.35">
      <c r="A20" t="s">
        <v>40</v>
      </c>
      <c r="B20" s="2" t="s">
        <v>41</v>
      </c>
      <c r="C20">
        <f>COUNTBLANK(Inputs!A1:A5)</f>
        <v>1</v>
      </c>
    </row>
    <row r="21" spans="1:3" x14ac:dyDescent="0.35">
      <c r="A21" t="s">
        <v>42</v>
      </c>
      <c r="B21" s="2" t="s">
        <v>43</v>
      </c>
      <c r="C21">
        <f>MIN(Inputs!A1:A5)</f>
        <v>10</v>
      </c>
    </row>
    <row r="22" spans="1:3" x14ac:dyDescent="0.35">
      <c r="A22" t="s">
        <v>44</v>
      </c>
      <c r="B22" s="2" t="s">
        <v>45</v>
      </c>
      <c r="C22">
        <f>MAX(Inputs!A1:A5)</f>
        <v>20</v>
      </c>
    </row>
    <row r="23" spans="1:3" x14ac:dyDescent="0.35">
      <c r="A23" t="s">
        <v>46</v>
      </c>
      <c r="B23" s="2" t="s">
        <v>47</v>
      </c>
      <c r="C23">
        <f>PRODUCT(Inputs!A1:A5)</f>
        <v>200</v>
      </c>
    </row>
    <row r="24" spans="1:3" x14ac:dyDescent="0.35">
      <c r="A24" t="s">
        <v>48</v>
      </c>
      <c r="B24" s="2" t="s">
        <v>49</v>
      </c>
      <c r="C24">
        <f>SUMPRODUCT(Inputs!B1:B3,Inputs!C1:C3)</f>
        <v>32</v>
      </c>
    </row>
    <row r="25" spans="1:3" x14ac:dyDescent="0.35">
      <c r="A25" t="s">
        <v>50</v>
      </c>
      <c r="B25" s="2" t="s">
        <v>51</v>
      </c>
      <c r="C25">
        <f>IF(TRUE,1,1/0)</f>
        <v>1</v>
      </c>
    </row>
    <row r="26" spans="1:3" x14ac:dyDescent="0.35">
      <c r="A26" t="s">
        <v>52</v>
      </c>
      <c r="B26" s="2" t="s">
        <v>53</v>
      </c>
      <c r="C26">
        <f>IFERROR(1/0,42)</f>
        <v>42</v>
      </c>
    </row>
    <row r="27" spans="1:3" x14ac:dyDescent="0.35">
      <c r="A27" t="s">
        <v>54</v>
      </c>
      <c r="B27" s="2" t="s">
        <v>55</v>
      </c>
      <c r="C27">
        <f>_xlfn.IFNA(NA(),42)</f>
        <v>42</v>
      </c>
    </row>
    <row r="28" spans="1:3" x14ac:dyDescent="0.35">
      <c r="A28" t="s">
        <v>56</v>
      </c>
      <c r="B28" s="2" t="s">
        <v>57</v>
      </c>
      <c r="C28" t="b">
        <f>AND(TRUE,1,2)</f>
        <v>1</v>
      </c>
    </row>
    <row r="29" spans="1:3" x14ac:dyDescent="0.35">
      <c r="A29" t="s">
        <v>58</v>
      </c>
      <c r="B29" s="2" t="s">
        <v>59</v>
      </c>
      <c r="C29" t="b">
        <f>OR(FALSE,0,1)</f>
        <v>1</v>
      </c>
    </row>
    <row r="30" spans="1:3" x14ac:dyDescent="0.35">
      <c r="A30" t="s">
        <v>60</v>
      </c>
      <c r="B30" s="2" t="s">
        <v>61</v>
      </c>
      <c r="C30" t="str">
        <f>_xlfn.CONCAT("a",1,TRUE)</f>
        <v>a1TRUE</v>
      </c>
    </row>
    <row r="31" spans="1:3" x14ac:dyDescent="0.35">
      <c r="A31" t="s">
        <v>62</v>
      </c>
      <c r="B31" s="2" t="s">
        <v>63</v>
      </c>
      <c r="C31" t="str">
        <f>LEFT("hello",2)</f>
        <v>he</v>
      </c>
    </row>
    <row r="32" spans="1:3" x14ac:dyDescent="0.35">
      <c r="A32" t="s">
        <v>64</v>
      </c>
      <c r="B32" s="2" t="s">
        <v>65</v>
      </c>
      <c r="C32" t="str">
        <f>RIGHT("hello",2)</f>
        <v>lo</v>
      </c>
    </row>
    <row r="33" spans="1:3" x14ac:dyDescent="0.35">
      <c r="A33" t="s">
        <v>66</v>
      </c>
      <c r="B33" s="2" t="s">
        <v>67</v>
      </c>
      <c r="C33" t="str">
        <f>MID("hello",2,3)</f>
        <v>ell</v>
      </c>
    </row>
    <row r="34" spans="1:3" x14ac:dyDescent="0.35">
      <c r="A34" t="s">
        <v>68</v>
      </c>
      <c r="B34" s="2" t="s">
        <v>69</v>
      </c>
      <c r="C34">
        <f>LEN("hello")</f>
        <v>5</v>
      </c>
    </row>
    <row r="35" spans="1:3" x14ac:dyDescent="0.35">
      <c r="A35" t="s">
        <v>70</v>
      </c>
      <c r="B35" s="2" t="s">
        <v>71</v>
      </c>
      <c r="C35" t="str">
        <f>UPPER("abc")</f>
        <v>ABC</v>
      </c>
    </row>
    <row r="36" spans="1:3" x14ac:dyDescent="0.35">
      <c r="A36" t="s">
        <v>72</v>
      </c>
      <c r="B36" s="2" t="s">
        <v>73</v>
      </c>
      <c r="C36" t="str">
        <f>TRIM("  a   b  ")</f>
        <v>a b</v>
      </c>
    </row>
    <row r="37" spans="1:3" x14ac:dyDescent="0.35">
      <c r="A37" t="s">
        <v>74</v>
      </c>
      <c r="B37" s="2" t="s">
        <v>75</v>
      </c>
      <c r="C37" t="b">
        <f>"a"="A"</f>
        <v>1</v>
      </c>
    </row>
    <row r="38" spans="1:3" x14ac:dyDescent="0.35">
      <c r="A38" t="s">
        <v>76</v>
      </c>
      <c r="B38" s="2" t="s">
        <v>77</v>
      </c>
      <c r="C38" t="b">
        <f>1="1"</f>
        <v>0</v>
      </c>
    </row>
    <row r="39" spans="1:3" x14ac:dyDescent="0.35">
      <c r="A39" t="s">
        <v>78</v>
      </c>
      <c r="B39" s="2" t="s">
        <v>79</v>
      </c>
      <c r="C39" t="b">
        <f>1&lt;2</f>
        <v>1</v>
      </c>
    </row>
    <row r="40" spans="1:3" x14ac:dyDescent="0.35">
      <c r="A40" t="s">
        <v>80</v>
      </c>
      <c r="B40" s="2" t="s">
        <v>81</v>
      </c>
      <c r="C40" t="b">
        <f>EXACT("a","A")</f>
        <v>0</v>
      </c>
    </row>
    <row r="41" spans="1:3" x14ac:dyDescent="0.35">
      <c r="A41" t="s">
        <v>82</v>
      </c>
      <c r="B41" s="2" t="s">
        <v>83</v>
      </c>
      <c r="C41">
        <f>LOG10(1000)</f>
        <v>3</v>
      </c>
    </row>
    <row r="42" spans="1:3" x14ac:dyDescent="0.35">
      <c r="A42" t="s">
        <v>84</v>
      </c>
      <c r="B42" s="2" t="s">
        <v>85</v>
      </c>
      <c r="C42">
        <f>LOG(100)</f>
        <v>2</v>
      </c>
    </row>
    <row r="43" spans="1:3" x14ac:dyDescent="0.35">
      <c r="A43" t="s">
        <v>86</v>
      </c>
      <c r="B43" s="2" t="s">
        <v>87</v>
      </c>
      <c r="C43">
        <f>POWER(2,10)</f>
        <v>1024</v>
      </c>
    </row>
    <row r="44" spans="1:3" x14ac:dyDescent="0.35">
      <c r="A44" t="s">
        <v>88</v>
      </c>
      <c r="B44" s="2" t="s">
        <v>89</v>
      </c>
      <c r="C44">
        <f>ABS(-5)</f>
        <v>5</v>
      </c>
    </row>
    <row r="45" spans="1:3" x14ac:dyDescent="0.35">
      <c r="A45" t="s">
        <v>90</v>
      </c>
      <c r="B45" s="2" t="s">
        <v>91</v>
      </c>
      <c r="C45">
        <f>SIGN(-5)</f>
        <v>-1</v>
      </c>
    </row>
    <row r="46" spans="1:3" x14ac:dyDescent="0.35">
      <c r="A46" t="s">
        <v>92</v>
      </c>
      <c r="B46" s="2" t="s">
        <v>93</v>
      </c>
      <c r="C46">
        <f>INT(-2.5)</f>
        <v>-3</v>
      </c>
    </row>
    <row r="47" spans="1:3" x14ac:dyDescent="0.35">
      <c r="A47" t="s">
        <v>94</v>
      </c>
      <c r="B47" s="2" t="s">
        <v>95</v>
      </c>
      <c r="C47" t="b">
        <f>Inputs!A5=""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491D-C27D-44FB-ACFD-4A592D119594}">
  <dimension ref="A1:C4"/>
  <sheetViews>
    <sheetView workbookViewId="0"/>
  </sheetViews>
  <sheetFormatPr defaultRowHeight="14.5" x14ac:dyDescent="0.35"/>
  <sheetData>
    <row r="1" spans="1:3" x14ac:dyDescent="0.35">
      <c r="A1">
        <v>10</v>
      </c>
      <c r="B1">
        <v>1</v>
      </c>
      <c r="C1">
        <v>4</v>
      </c>
    </row>
    <row r="2" spans="1:3" x14ac:dyDescent="0.35">
      <c r="A2">
        <v>20</v>
      </c>
      <c r="B2">
        <v>2</v>
      </c>
      <c r="C2">
        <v>5</v>
      </c>
    </row>
    <row r="3" spans="1:3" x14ac:dyDescent="0.35">
      <c r="A3" t="s">
        <v>0</v>
      </c>
      <c r="B3">
        <v>3</v>
      </c>
      <c r="C3">
        <v>6</v>
      </c>
    </row>
    <row r="4" spans="1:3" x14ac:dyDescent="0.35">
      <c r="A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Huayu Zhang</dc:creator>
  <cp:lastModifiedBy>Huayu Zhang</cp:lastModifiedBy>
  <dcterms:created xsi:type="dcterms:W3CDTF">2026-10-20T03:41:31Z</dcterms:created>
  <dcterms:modified xsi:type="dcterms:W3CDTF">2026-10-20T03:41:32Z</dcterms:modified>
</cp:coreProperties>
</file>